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xr:revisionPtr revIDLastSave="288" documentId="11_0B1D56BE9CDCCE836B02CE7A5FB0D4A9BBFD1C62" xr6:coauthVersionLast="47" xr6:coauthVersionMax="47" xr10:uidLastSave="{DB02EB86-80AC-4670-9C69-D05EDD0C8E9C}"/>
  <bookViews>
    <workbookView xWindow="240" yWindow="105" windowWidth="14805" windowHeight="8010" firstSheet="1" activeTab="1" xr2:uid="{00000000-000D-0000-FFFF-FFFF00000000}"/>
  </bookViews>
  <sheets>
    <sheet name="Sales Data" sheetId="1" r:id="rId1"/>
    <sheet name="Dashboard" sheetId="2" r:id="rId2"/>
  </sheets>
  <definedNames>
    <definedName name="Slicer_Category">#N/A</definedName>
    <definedName name="Slicer_Region">#N/A</definedName>
  </definedNames>
  <calcPr calcId="191028"/>
  <pivotCaches>
    <pivotCache cacheId="5912" r:id="rId3"/>
  </pivotCaches>
  <extLst>
    <ext xmlns:x14="http://schemas.microsoft.com/office/spreadsheetml/2009/9/main" uri="{BBE1A952-AA13-448e-AADC-164F8A28A991}">
      <x14:slicerCaches>
        <x14:slicerCache r:id="rId4"/>
        <x14:slicerCache r:id="rId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C6" i="1"/>
  <c r="C5" i="1"/>
  <c r="C4" i="1"/>
  <c r="C3" i="1"/>
  <c r="C2" i="1"/>
</calcChain>
</file>

<file path=xl/sharedStrings.xml><?xml version="1.0" encoding="utf-8"?>
<sst xmlns="http://schemas.openxmlformats.org/spreadsheetml/2006/main" count="31" uniqueCount="15">
  <si>
    <t>Order_ID</t>
  </si>
  <si>
    <t>Order_Date</t>
  </si>
  <si>
    <t>Month</t>
  </si>
  <si>
    <t>Region</t>
  </si>
  <si>
    <t>Category</t>
  </si>
  <si>
    <t>Sales</t>
  </si>
  <si>
    <t>Profit</t>
  </si>
  <si>
    <t>South</t>
  </si>
  <si>
    <t>Technology</t>
  </si>
  <si>
    <t>West</t>
  </si>
  <si>
    <t>Furniture</t>
  </si>
  <si>
    <t>East</t>
  </si>
  <si>
    <t>North</t>
  </si>
  <si>
    <t>Sum of Sales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</si>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</sst>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4" fontId="0" fillId="0" borderId="0" xfId="0" applyNumberFormat="1"/>
    <xf numFmtId="14" fontId="1" fillId="0" borderId="0" xfId="0" applyNumberFormat="1" applyFont="1"/>
    <xf numFmtId="0" fontId="0" fillId="0" borderId="0" xfId="0" applyNumberFormat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pivotButton="1"/>
    <xf numFmtId="0" fontId="0" fillId="0" borderId="0" xfId="0" applyNumberFormat="1" applyAlignment="1">
      <alignment horizontal="center" vertical="center"/>
    </xf>
    <xf numFmtId="17" fontId="1" fillId="0" borderId="0" xfId="0" applyNumberFormat="1" applyFont="1"/>
    <xf numFmtId="17" fontId="0" fillId="0" borderId="0" xfId="0" applyNumberFormat="1" applyAlignment="1">
      <alignment horizontal="center" vertical="center"/>
    </xf>
    <xf numFmtId="17" fontId="0" fillId="0" borderId="0" xfId="0" applyNumberFormat="1"/>
  </cellXfs>
  <cellStyles count="1">
    <cellStyle name="Normal" xfId="0" builtinId="0"/>
  </cellStyles>
  <dxfs count="9">
    <dxf>
      <numFmt numFmtId="0" formatCode="General"/>
      <alignment horizontal="center" vertical="center"/>
    </dxf>
    <dxf>
      <numFmt numFmtId="0" formatCode="General"/>
      <alignment horizontal="center" vertical="center"/>
    </dxf>
    <dxf>
      <alignment horizontal="center" vertical="center"/>
    </dxf>
    <dxf>
      <alignment horizontal="center" vertical="center"/>
    </dxf>
    <dxf>
      <numFmt numFmtId="22" formatCode="mmm\-yy"/>
      <alignment horizontal="center" vertical="center" textRotation="0" wrapText="0" indent="0" justifyLastLine="0" shrinkToFit="0" readingOrder="0"/>
    </dxf>
    <dxf>
      <numFmt numFmtId="19" formatCode="m/d/yyyy"/>
      <alignment horizontal="center" vertical="center"/>
    </dxf>
    <dxf>
      <alignment horizontal="center" vertical="center"/>
    </dxf>
    <dxf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2.xml"/><Relationship Id="rId4" Type="http://schemas.microsoft.com/office/2007/relationships/slicerCache" Target="slicerCaches/slicerCach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[excel_day14.xlsx]Dashboard!Sales By Region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Dashboard!$A$2:$A$5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Dashboard!$B$2:$B$5</c:f>
              <c:numCache>
                <c:formatCode>General</c:formatCode>
                <c:ptCount val="4"/>
                <c:pt idx="0">
                  <c:v>20000</c:v>
                </c:pt>
                <c:pt idx="1">
                  <c:v>18000</c:v>
                </c:pt>
                <c:pt idx="2">
                  <c:v>52000</c:v>
                </c:pt>
                <c:pt idx="3">
                  <c:v>63000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53-4961-BA54-BE922E95B6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4390919"/>
        <c:axId val="1204397063"/>
      </c:barChart>
      <c:catAx>
        <c:axId val="1204390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397063"/>
        <c:crosses val="autoZero"/>
        <c:auto val="1"/>
        <c:lblAlgn val="ctr"/>
        <c:lblOffset val="100"/>
        <c:noMultiLvlLbl val="0"/>
      </c:catAx>
      <c:valAx>
        <c:axId val="1204397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390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[excel_day14.xlsx]Dashboard!Profit By Category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Dashboard!$H$1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Dashboard!$G$2:$G$3</c:f>
              <c:strCache>
                <c:ptCount val="2"/>
                <c:pt idx="0">
                  <c:v>Furniture</c:v>
                </c:pt>
                <c:pt idx="1">
                  <c:v>Technology</c:v>
                </c:pt>
              </c:strCache>
            </c:strRef>
          </c:cat>
          <c:val>
            <c:numRef>
              <c:f>Dashboard!$H$2:$H$3</c:f>
              <c:numCache>
                <c:formatCode>General</c:formatCode>
                <c:ptCount val="2"/>
                <c:pt idx="0">
                  <c:v>7000</c:v>
                </c:pt>
                <c:pt idx="1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F8-441F-89A4-4AE4FAE438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99697416"/>
        <c:axId val="999703560"/>
      </c:barChart>
      <c:catAx>
        <c:axId val="9996974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703560"/>
        <c:crosses val="autoZero"/>
        <c:auto val="1"/>
        <c:lblAlgn val="ctr"/>
        <c:lblOffset val="100"/>
        <c:noMultiLvlLbl val="0"/>
      </c:catAx>
      <c:valAx>
        <c:axId val="999703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697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[excel_day14.xlsx]Dashboard!Monthly Sales Trend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Dashboard!$N$1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Dashboard!$M$2:$M$6</c:f>
              <c:strCache>
                <c:ptCount val="5"/>
                <c:pt idx="0">
                  <c:v>Jan-24</c:v>
                </c:pt>
                <c:pt idx="1">
                  <c:v>Mar-24</c:v>
                </c:pt>
                <c:pt idx="2">
                  <c:v>May-24</c:v>
                </c:pt>
                <c:pt idx="3">
                  <c:v>Jul-24</c:v>
                </c:pt>
                <c:pt idx="4">
                  <c:v>Oct-24</c:v>
                </c:pt>
              </c:strCache>
            </c:strRef>
          </c:cat>
          <c:val>
            <c:numRef>
              <c:f>Dashboard!$N$2:$N$6</c:f>
              <c:numCache>
                <c:formatCode>General</c:formatCode>
                <c:ptCount val="5"/>
                <c:pt idx="0">
                  <c:v>52000</c:v>
                </c:pt>
                <c:pt idx="1">
                  <c:v>38000</c:v>
                </c:pt>
                <c:pt idx="2">
                  <c:v>25000</c:v>
                </c:pt>
                <c:pt idx="3">
                  <c:v>20000</c:v>
                </c:pt>
                <c:pt idx="4">
                  <c:v>18000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47-4FDA-B084-00BA16531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688135"/>
        <c:axId val="2072690183"/>
      </c:lineChart>
      <c:catAx>
        <c:axId val="2072688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2690183"/>
        <c:crosses val="autoZero"/>
        <c:auto val="1"/>
        <c:lblAlgn val="ctr"/>
        <c:lblOffset val="100"/>
        <c:noMultiLvlLbl val="0"/>
      </c:catAx>
      <c:valAx>
        <c:axId val="2072690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2688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180975</xdr:rowOff>
    </xdr:from>
    <xdr:to>
      <xdr:col>3</xdr:col>
      <xdr:colOff>600075</xdr:colOff>
      <xdr:row>22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EAA8A7-1DAE-6040-5DF5-4C5CE776D6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8</xdr:row>
      <xdr:rowOff>0</xdr:rowOff>
    </xdr:from>
    <xdr:to>
      <xdr:col>9</xdr:col>
      <xdr:colOff>28575</xdr:colOff>
      <xdr:row>17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F4C0D4B-53CE-9289-EC0A-848F54CE7837}"/>
            </a:ext>
            <a:ext uri="{147F2762-F138-4A5C-976F-8EAC2B608ADB}">
              <a16:predDERef xmlns:a16="http://schemas.microsoft.com/office/drawing/2014/main" pred="{A3EAA8A7-1DAE-6040-5DF5-4C5CE776D6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9525</xdr:colOff>
      <xdr:row>8</xdr:row>
      <xdr:rowOff>0</xdr:rowOff>
    </xdr:from>
    <xdr:to>
      <xdr:col>15</xdr:col>
      <xdr:colOff>0</xdr:colOff>
      <xdr:row>19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4DAC059-095D-8E58-70B7-6AB1211D03EE}"/>
            </a:ext>
            <a:ext uri="{147F2762-F138-4A5C-976F-8EAC2B608ADB}">
              <a16:predDERef xmlns:a16="http://schemas.microsoft.com/office/drawing/2014/main" pred="{CF4C0D4B-53CE-9289-EC0A-848F54CE78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</xdr:col>
      <xdr:colOff>247650</xdr:colOff>
      <xdr:row>0</xdr:row>
      <xdr:rowOff>19050</xdr:rowOff>
    </xdr:from>
    <xdr:to>
      <xdr:col>5</xdr:col>
      <xdr:colOff>247650</xdr:colOff>
      <xdr:row>7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Region">
              <a:extLst>
                <a:ext uri="{FF2B5EF4-FFF2-40B4-BE49-F238E27FC236}">
                  <a16:creationId xmlns:a16="http://schemas.microsoft.com/office/drawing/2014/main" id="{21D2167A-D39F-77A9-2250-86AA9A9B3656}"/>
                </a:ext>
                <a:ext uri="{147F2762-F138-4A5C-976F-8EAC2B608ADB}">
                  <a16:predDERef xmlns:a16="http://schemas.microsoft.com/office/drawing/2014/main" pred="{A4DAC059-095D-8E58-70B7-6AB1211D03E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33550" y="19050"/>
              <a:ext cx="1828800" cy="1352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8</xdr:col>
      <xdr:colOff>342900</xdr:colOff>
      <xdr:row>0</xdr:row>
      <xdr:rowOff>28575</xdr:rowOff>
    </xdr:from>
    <xdr:to>
      <xdr:col>11</xdr:col>
      <xdr:colOff>342900</xdr:colOff>
      <xdr:row>5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Category">
              <a:extLst>
                <a:ext uri="{FF2B5EF4-FFF2-40B4-BE49-F238E27FC236}">
                  <a16:creationId xmlns:a16="http://schemas.microsoft.com/office/drawing/2014/main" id="{17958BBD-08A9-30AA-445D-FFB6A6682AA6}"/>
                </a:ext>
                <a:ext uri="{147F2762-F138-4A5C-976F-8EAC2B608ADB}">
                  <a16:predDERef xmlns:a16="http://schemas.microsoft.com/office/drawing/2014/main" pred="{21D2167A-D39F-77A9-2250-86AA9A9B365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86450" y="28575"/>
              <a:ext cx="1828800" cy="1000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51.755946759258" createdVersion="8" refreshedVersion="8" minRefreshableVersion="3" recordCount="6" xr:uid="{7464CACA-1325-431A-AA3A-C508A67BA94E}">
  <cacheSource type="worksheet">
    <worksheetSource name="Table1"/>
  </cacheSource>
  <cacheFields count="7">
    <cacheField name="Order_ID" numFmtId="0">
      <sharedItems containsSemiMixedTypes="0" containsString="0" containsNumber="1" containsInteger="1" minValue="1001" maxValue="1006"/>
    </cacheField>
    <cacheField name="Order_Date" numFmtId="14">
      <sharedItems containsSemiMixedTypes="0" containsNonDate="0" containsDate="1" containsString="0" minDate="2024-01-01T00:00:00" maxDate="2024-10-02T00:00:00"/>
    </cacheField>
    <cacheField name="Month" numFmtId="17">
      <sharedItems containsSemiMixedTypes="0" containsNonDate="0" containsDate="1" containsString="0" minDate="2024-01-01T00:00:00" maxDate="2024-10-02T00:00:00" count="5">
        <d v="2024-01-01T00:00:00"/>
        <d v="2024-03-01T00:00:00"/>
        <d v="2024-05-01T00:00:00"/>
        <d v="2024-07-01T00:00:00"/>
        <d v="2024-10-01T00:00:00"/>
      </sharedItems>
    </cacheField>
    <cacheField name="Region" numFmtId="0">
      <sharedItems count="4">
        <s v="South"/>
        <s v="West"/>
        <s v="East"/>
        <s v="North"/>
      </sharedItems>
    </cacheField>
    <cacheField name="Category" numFmtId="0">
      <sharedItems count="2">
        <s v="Technology"/>
        <s v="Furniture"/>
      </sharedItems>
    </cacheField>
    <cacheField name="Sales" numFmtId="0">
      <sharedItems containsSemiMixedTypes="0" containsString="0" containsNumber="1" containsInteger="1" minValue="12000" maxValue="40000"/>
    </cacheField>
    <cacheField name="Profit" numFmtId="0">
      <sharedItems containsSemiMixedTypes="0" containsString="0" containsNumber="1" containsInteger="1" minValue="-500" maxValue="6000"/>
    </cacheField>
  </cacheFields>
  <extLst>
    <ext xmlns:x14="http://schemas.microsoft.com/office/spreadsheetml/2009/9/main" uri="{725AE2AE-9491-48be-B2B4-4EB974FC3084}">
      <x14:pivotCacheDefinition pivotCacheId="96358681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n v="1001"/>
    <d v="2024-01-01T00:00:00"/>
    <x v="0"/>
    <x v="0"/>
    <x v="0"/>
    <n v="40000"/>
    <n v="3000"/>
  </r>
  <r>
    <n v="1002"/>
    <d v="2024-03-01T00:00:00"/>
    <x v="1"/>
    <x v="1"/>
    <x v="0"/>
    <n v="38000"/>
    <n v="2500"/>
  </r>
  <r>
    <n v="1003"/>
    <d v="2024-05-01T00:00:00"/>
    <x v="2"/>
    <x v="1"/>
    <x v="1"/>
    <n v="25000"/>
    <n v="1000"/>
  </r>
  <r>
    <n v="1004"/>
    <d v="2024-07-01T00:00:00"/>
    <x v="3"/>
    <x v="2"/>
    <x v="0"/>
    <n v="20000"/>
    <n v="-500"/>
  </r>
  <r>
    <n v="1005"/>
    <d v="2024-10-01T00:00:00"/>
    <x v="4"/>
    <x v="3"/>
    <x v="1"/>
    <n v="18000"/>
    <n v="6000"/>
  </r>
  <r>
    <n v="1006"/>
    <d v="2024-01-15T00:00:00"/>
    <x v="0"/>
    <x v="0"/>
    <x v="0"/>
    <n v="1200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C76A1E-EA55-4C07-9318-4AF94105CD29}" name="Profit By Category" cacheId="591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G1:H3" firstHeaderRow="1" firstDataRow="1" firstDataCol="1"/>
  <pivotFields count="7">
    <pivotField compact="0" outline="0" showAll="0"/>
    <pivotField compact="0" outline="0" showAll="0"/>
    <pivotField compact="0" outline="0" showAll="0"/>
    <pivotField compact="0" outline="0" showAll="0">
      <items count="5">
        <item x="2"/>
        <item x="3"/>
        <item x="0"/>
        <item x="1"/>
        <item t="default"/>
      </items>
    </pivotField>
    <pivotField axis="axisRow" compact="0" outline="0" showAll="0">
      <items count="3">
        <item x="1"/>
        <item x="0"/>
        <item t="default"/>
      </items>
    </pivotField>
    <pivotField compact="0" outline="0" showAll="0"/>
    <pivotField dataField="1" compact="0" outline="0" showAll="0"/>
  </pivotFields>
  <rowFields count="1">
    <field x="4"/>
  </rowFields>
  <rowItems count="2">
    <i>
      <x/>
    </i>
    <i>
      <x v="1"/>
    </i>
  </rowItems>
  <colItems count="1">
    <i/>
  </colItems>
  <dataFields count="1">
    <dataField name="Sum of Profi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28578F-3C78-43E1-8C80-D5F31A0D526D}" name="Sales By Region" cacheId="591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1:B5" firstHeaderRow="1" firstDataRow="1" firstDataCol="1"/>
  <pivotFields count="7">
    <pivotField compact="0" outline="0" showAll="0"/>
    <pivotField compact="0" outline="0" showAll="0"/>
    <pivotField compact="0" outline="0" showAll="0"/>
    <pivotField axis="axisRow" compact="0" outline="0" showAll="0">
      <items count="5">
        <item x="2"/>
        <item x="3"/>
        <item x="0"/>
        <item x="1"/>
        <item t="default"/>
      </items>
    </pivotField>
    <pivotField compact="0" outline="0" showAll="0">
      <items count="3">
        <item x="1"/>
        <item x="0"/>
        <item t="default"/>
      </items>
    </pivotField>
    <pivotField dataField="1" compact="0" outline="0" showAll="0"/>
    <pivotField compact="0" outline="0" showAll="0"/>
  </pivotFields>
  <rowFields count="1">
    <field x="3"/>
  </rowFields>
  <rowItems count="4">
    <i>
      <x/>
    </i>
    <i>
      <x v="1"/>
    </i>
    <i>
      <x v="2"/>
    </i>
    <i>
      <x v="3"/>
    </i>
  </rowItems>
  <colItems count="1">
    <i/>
  </colItems>
  <dataFields count="1">
    <dataField name="Sum of Sales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80C915-C54D-4158-BE34-5B067ED07812}" name="Monthly Sales Trend" cacheId="5912" applyNumberFormats="0" applyBorderFormats="0" applyFontFormats="0" applyPatternFormats="0" applyAlignmentFormats="0" applyWidthHeightFormats="1" dataCaption="Values" updatedVersion="8" minRefreshableVersion="3" showDrill="0" useAutoFormatting="1" rowGrandTotals="0" colGrandTotals="0" itemPrintTitles="1" createdVersion="8" indent="0" compact="0" compactData="0" multipleFieldFilters="0" chartFormat="1">
  <location ref="M1:N6" firstHeaderRow="1" firstDataRow="1" firstDataCol="1"/>
  <pivotFields count="7">
    <pivotField compact="0" outline="0" showAll="0"/>
    <pivotField compact="0" numFmtId="14" outline="0" showAll="0"/>
    <pivotField axis="axisRow" compact="0" numFmtId="17" outline="0" showAll="0">
      <items count="6">
        <item x="0"/>
        <item x="1"/>
        <item x="2"/>
        <item x="3"/>
        <item x="4"/>
        <item t="default"/>
      </items>
    </pivotField>
    <pivotField compact="0" outline="0" showAll="0">
      <items count="5">
        <item x="2"/>
        <item x="3"/>
        <item x="0"/>
        <item x="1"/>
        <item t="default"/>
      </items>
    </pivotField>
    <pivotField compact="0" outline="0" showAll="0">
      <items count="3">
        <item x="1"/>
        <item x="0"/>
        <item t="default"/>
      </items>
    </pivotField>
    <pivotField dataField="1" compact="0" outline="0" showAll="0"/>
    <pivotField compact="0" outline="0" showAll="0"/>
  </pivotFields>
  <rowFields count="1">
    <field x="2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Sum of Sales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8D290C4A-FDFD-49C2-8932-71CC10199A0D}" sourceName="Region">
  <pivotTables>
    <pivotTable tabId="2" name="Sales By Region"/>
    <pivotTable tabId="2" name="Monthly Sales Trend"/>
    <pivotTable tabId="2" name="Profit By Category"/>
  </pivotTables>
  <data>
    <tabular pivotCacheId="963586819">
      <items count="4">
        <i x="2" s="1"/>
        <i x="3" s="1"/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tegory" xr10:uid="{F2C9048D-5118-4847-9433-66A797F8BBEA}" sourceName="Category">
  <pivotTables>
    <pivotTable tabId="2" name="Profit By Category"/>
    <pivotTable tabId="2" name="Sales By Region"/>
    <pivotTable tabId="2" name="Monthly Sales Trend"/>
  </pivotTables>
  <data>
    <tabular pivotCacheId="963586819">
      <items count="2"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" xr10:uid="{7AACE1AC-5282-4F27-963D-283858DCAA97}" cache="Slicer_Region" caption="Filter By Region" rowHeight="228600"/>
  <slicer name="Category" xr10:uid="{3EAE5BBA-F068-4F2C-BBDC-EAA12B750EB2}" cache="Slicer_Category" caption="Filter By Category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CB762B-F24C-4098-991D-92129E125310}" name="Table1" displayName="Table1" ref="A1:G7" totalsRowShown="0" headerRowDxfId="8" dataDxfId="7">
  <autoFilter ref="A1:G7" xr:uid="{56CB762B-F24C-4098-991D-92129E125310}"/>
  <sortState xmlns:xlrd2="http://schemas.microsoft.com/office/spreadsheetml/2017/richdata2" ref="A2:G7">
    <sortCondition ref="B1:B7"/>
  </sortState>
  <tableColumns count="7">
    <tableColumn id="1" xr3:uid="{F8A36E80-DFC6-41AF-AC1B-F42B66171A65}" name="Order_ID" dataDxfId="6"/>
    <tableColumn id="2" xr3:uid="{2721F0BB-AB89-45CF-94FF-FD6A308F1313}" name="Order_Date" dataDxfId="5"/>
    <tableColumn id="7" xr3:uid="{98217377-9608-41A0-B491-12EA25195010}" name="Month" dataDxfId="4">
      <calculatedColumnFormula>DATE(YEAR(B2), MONTH(B2), 1)</calculatedColumnFormula>
    </tableColumn>
    <tableColumn id="3" xr3:uid="{D896B450-9136-42B1-B111-81E891186DA8}" name="Region" dataDxfId="3"/>
    <tableColumn id="4" xr3:uid="{A4BD3ED7-8266-4A1D-8DDB-2A01EE962DE9}" name="Category" dataDxfId="2"/>
    <tableColumn id="5" xr3:uid="{0FCDC901-1F5C-4E81-9469-14B72E2D1436}" name="Sales" dataDxfId="1"/>
    <tableColumn id="6" xr3:uid="{F8A55ACE-572F-4C2F-9FB1-0FC2455663AA}" name="Profit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workbookViewId="0">
      <selection activeCell="A2" sqref="A2:G7"/>
    </sheetView>
  </sheetViews>
  <sheetFormatPr defaultRowHeight="15"/>
  <cols>
    <col min="1" max="1" width="11" bestFit="1" customWidth="1"/>
    <col min="2" max="2" width="14" style="2" bestFit="1" customWidth="1"/>
    <col min="3" max="3" width="14" style="11" customWidth="1"/>
    <col min="4" max="4" width="14" style="2" customWidth="1"/>
    <col min="6" max="6" width="11.140625" bestFit="1" customWidth="1"/>
  </cols>
  <sheetData>
    <row r="1" spans="1:8">
      <c r="A1" s="1" t="s">
        <v>0</v>
      </c>
      <c r="B1" s="3" t="s">
        <v>1</v>
      </c>
      <c r="C1" s="9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>
      <c r="A2" s="5">
        <v>1001</v>
      </c>
      <c r="B2" s="2">
        <v>45292</v>
      </c>
      <c r="C2" s="10">
        <f t="shared" ref="C2:C7" si="0">DATE(YEAR(B2), MONTH(B2), 1)</f>
        <v>45292</v>
      </c>
      <c r="D2" s="5" t="s">
        <v>7</v>
      </c>
      <c r="E2" s="5" t="s">
        <v>8</v>
      </c>
      <c r="F2" s="8">
        <v>40000</v>
      </c>
      <c r="G2" s="8">
        <v>3000</v>
      </c>
    </row>
    <row r="3" spans="1:8">
      <c r="A3" s="5">
        <v>1002</v>
      </c>
      <c r="B3" s="2">
        <v>45352</v>
      </c>
      <c r="C3" s="10">
        <f t="shared" si="0"/>
        <v>45352</v>
      </c>
      <c r="D3" s="5" t="s">
        <v>9</v>
      </c>
      <c r="E3" s="5" t="s">
        <v>8</v>
      </c>
      <c r="F3" s="8">
        <v>38000</v>
      </c>
      <c r="G3" s="8">
        <v>2500</v>
      </c>
    </row>
    <row r="4" spans="1:8">
      <c r="A4" s="5">
        <v>1003</v>
      </c>
      <c r="B4" s="2">
        <v>45413</v>
      </c>
      <c r="C4" s="10">
        <f t="shared" si="0"/>
        <v>45413</v>
      </c>
      <c r="D4" s="5" t="s">
        <v>9</v>
      </c>
      <c r="E4" s="5" t="s">
        <v>10</v>
      </c>
      <c r="F4" s="8">
        <v>25000</v>
      </c>
      <c r="G4" s="8">
        <v>1000</v>
      </c>
    </row>
    <row r="5" spans="1:8">
      <c r="A5" s="5">
        <v>1004</v>
      </c>
      <c r="B5" s="2">
        <v>45474</v>
      </c>
      <c r="C5" s="10">
        <f t="shared" si="0"/>
        <v>45474</v>
      </c>
      <c r="D5" s="5" t="s">
        <v>11</v>
      </c>
      <c r="E5" s="5" t="s">
        <v>8</v>
      </c>
      <c r="F5" s="8">
        <v>20000</v>
      </c>
      <c r="G5" s="8">
        <v>-500</v>
      </c>
    </row>
    <row r="6" spans="1:8">
      <c r="A6" s="5">
        <v>1005</v>
      </c>
      <c r="B6" s="2">
        <v>45566</v>
      </c>
      <c r="C6" s="10">
        <f t="shared" si="0"/>
        <v>45566</v>
      </c>
      <c r="D6" s="5" t="s">
        <v>12</v>
      </c>
      <c r="E6" s="5" t="s">
        <v>10</v>
      </c>
      <c r="F6" s="8">
        <v>18000</v>
      </c>
      <c r="G6" s="8">
        <v>6000</v>
      </c>
    </row>
    <row r="7" spans="1:8">
      <c r="A7" s="5">
        <v>1006</v>
      </c>
      <c r="B7" s="6">
        <v>45306</v>
      </c>
      <c r="C7" s="10">
        <f t="shared" si="0"/>
        <v>45292</v>
      </c>
      <c r="D7" s="5" t="s">
        <v>7</v>
      </c>
      <c r="E7" s="5" t="s">
        <v>8</v>
      </c>
      <c r="F7" s="8">
        <v>12000</v>
      </c>
      <c r="G7" s="8">
        <v>0</v>
      </c>
    </row>
    <row r="12" spans="1:8">
      <c r="C12" s="9"/>
      <c r="D12" s="1"/>
      <c r="E12" s="1"/>
      <c r="F12" s="1"/>
      <c r="G12" s="1"/>
      <c r="H12" s="1"/>
    </row>
    <row r="18" spans="4:4">
      <c r="D18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31177-5446-4F81-A4B1-55C3ED1F2563}">
  <dimension ref="A1:N6"/>
  <sheetViews>
    <sheetView tabSelected="1" workbookViewId="0">
      <selection activeCell="G7" sqref="G7"/>
    </sheetView>
  </sheetViews>
  <sheetFormatPr defaultRowHeight="15"/>
  <cols>
    <col min="1" max="1" width="10" bestFit="1" customWidth="1"/>
    <col min="2" max="2" width="12.28515625" bestFit="1" customWidth="1"/>
    <col min="7" max="7" width="12" bestFit="1" customWidth="1"/>
    <col min="8" max="8" width="12.28515625" bestFit="1" customWidth="1"/>
    <col min="12" max="13" width="9.5703125" bestFit="1" customWidth="1"/>
    <col min="14" max="14" width="12.28515625" bestFit="1" customWidth="1"/>
  </cols>
  <sheetData>
    <row r="1" spans="1:14">
      <c r="A1" s="7" t="s">
        <v>3</v>
      </c>
      <c r="B1" t="s">
        <v>13</v>
      </c>
      <c r="G1" s="7" t="s">
        <v>4</v>
      </c>
      <c r="H1" t="s">
        <v>14</v>
      </c>
      <c r="M1" s="7" t="s">
        <v>2</v>
      </c>
      <c r="N1" t="s">
        <v>13</v>
      </c>
    </row>
    <row r="2" spans="1:14">
      <c r="A2" t="s">
        <v>11</v>
      </c>
      <c r="B2" s="4">
        <v>20000</v>
      </c>
      <c r="G2" t="s">
        <v>10</v>
      </c>
      <c r="H2" s="4">
        <v>7000</v>
      </c>
      <c r="M2" s="11">
        <v>45292</v>
      </c>
      <c r="N2" s="4">
        <v>52000</v>
      </c>
    </row>
    <row r="3" spans="1:14">
      <c r="A3" t="s">
        <v>12</v>
      </c>
      <c r="B3" s="4">
        <v>18000</v>
      </c>
      <c r="G3" t="s">
        <v>8</v>
      </c>
      <c r="H3" s="4">
        <v>5000</v>
      </c>
      <c r="M3" s="11">
        <v>45352</v>
      </c>
      <c r="N3" s="4">
        <v>38000</v>
      </c>
    </row>
    <row r="4" spans="1:14">
      <c r="A4" t="s">
        <v>7</v>
      </c>
      <c r="B4" s="4">
        <v>52000</v>
      </c>
      <c r="M4" s="11">
        <v>45413</v>
      </c>
      <c r="N4" s="4">
        <v>25000</v>
      </c>
    </row>
    <row r="5" spans="1:14">
      <c r="A5" t="s">
        <v>9</v>
      </c>
      <c r="B5" s="4">
        <v>63000</v>
      </c>
      <c r="M5" s="11">
        <v>45474</v>
      </c>
      <c r="N5" s="4">
        <v>20000</v>
      </c>
    </row>
    <row r="6" spans="1:14">
      <c r="M6" s="11">
        <v>45566</v>
      </c>
      <c r="N6" s="4">
        <v>18000</v>
      </c>
    </row>
  </sheetData>
  <pageMargins left="0.7" right="0.7" top="0.75" bottom="0.75" header="0.3" footer="0.3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Induja Y</cp:lastModifiedBy>
  <cp:revision/>
  <dcterms:created xsi:type="dcterms:W3CDTF">2026-01-29T07:57:12Z</dcterms:created>
  <dcterms:modified xsi:type="dcterms:W3CDTF">2026-01-29T13:11:06Z</dcterms:modified>
  <cp:category/>
  <cp:contentStatus/>
</cp:coreProperties>
</file>