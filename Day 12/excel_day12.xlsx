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54" documentId="11_E60897F41BE170836B02CE998F75CCDC64E183C8" xr6:coauthVersionLast="47" xr6:coauthVersionMax="47" xr10:uidLastSave="{14DE8AC2-CEFD-49F0-B7BB-489FE8A1E871}"/>
  <bookViews>
    <workbookView xWindow="240" yWindow="105" windowWidth="14805" windowHeight="8010" activeTab="1" xr2:uid="{00000000-000D-0000-FFFF-FFFF00000000}"/>
  </bookViews>
  <sheets>
    <sheet name="Sales Data" sheetId="1" r:id="rId1"/>
    <sheet name="Sales Profit Analysis" sheetId="2" r:id="rId2"/>
  </sheets>
  <calcPr calcId="191028"/>
  <pivotCaches>
    <pivotCache cacheId="77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<sst xmlns="http://schemas.openxmlformats.org/spreadsheetml/2006/main" count="29" uniqueCount="19">
  <si>
    <t>Order_ID</t>
  </si>
  <si>
    <t>Region</t>
  </si>
  <si>
    <t>Category</t>
  </si>
  <si>
    <t>Sales</t>
  </si>
  <si>
    <t>Cost</t>
  </si>
  <si>
    <t>Profit</t>
  </si>
  <si>
    <t>Profit Margin</t>
  </si>
  <si>
    <t>South</t>
  </si>
  <si>
    <t>Technology</t>
  </si>
  <si>
    <t>West</t>
  </si>
  <si>
    <t>Furniture</t>
  </si>
  <si>
    <t>East</t>
  </si>
  <si>
    <t>North</t>
  </si>
  <si>
    <t>(All)</t>
  </si>
  <si>
    <t>Total Sales</t>
  </si>
  <si>
    <t>Total Cost</t>
  </si>
  <si>
    <t>Total Profit</t>
  </si>
  <si>
    <t>Average of Profit Margin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</si>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</sst>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11"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0.870635763888" createdVersion="8" refreshedVersion="8" minRefreshableVersion="3" recordCount="5" xr:uid="{151F23A4-8494-44C5-B8B5-10ECE26DCA66}">
  <cacheSource type="worksheet">
    <worksheetSource ref="A1:G6" sheet="Sales Data"/>
  </cacheSource>
  <cacheFields count="7">
    <cacheField name="Order_ID" numFmtId="0">
      <sharedItems containsSemiMixedTypes="0" containsString="0" containsNumber="1" containsInteger="1" minValue="1001" maxValue="1005"/>
    </cacheField>
    <cacheField name="Region" numFmtId="0">
      <sharedItems count="4">
        <s v="South"/>
        <s v="West"/>
        <s v="East"/>
        <s v="North"/>
      </sharedItems>
    </cacheField>
    <cacheField name="Category" numFmtId="0">
      <sharedItems count="2">
        <s v="Technology"/>
        <s v="Furniture"/>
      </sharedItems>
    </cacheField>
    <cacheField name="Sales" numFmtId="0">
      <sharedItems containsSemiMixedTypes="0" containsString="0" containsNumber="1" containsInteger="1" minValue="8000" maxValue="25000"/>
    </cacheField>
    <cacheField name="Cost" numFmtId="0">
      <sharedItems containsSemiMixedTypes="0" containsString="0" containsNumber="1" containsInteger="1" minValue="9000" maxValue="18000"/>
    </cacheField>
    <cacheField name="Profit" numFmtId="0">
      <sharedItems containsSemiMixedTypes="0" containsString="0" containsNumber="1" containsInteger="1" minValue="-1000" maxValue="7000"/>
    </cacheField>
    <cacheField name="Profit Margin" numFmtId="10">
      <sharedItems containsSemiMixedTypes="0" containsString="0" containsNumber="1" minValue="-0.125" maxValue="0.280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x v="0"/>
    <x v="0"/>
    <n v="15000"/>
    <n v="12000"/>
    <n v="3000"/>
    <n v="0.2"/>
  </r>
  <r>
    <n v="1002"/>
    <x v="1"/>
    <x v="1"/>
    <n v="20000"/>
    <n v="15000"/>
    <n v="5000"/>
    <n v="0.25"/>
  </r>
  <r>
    <n v="1003"/>
    <x v="2"/>
    <x v="0"/>
    <n v="8000"/>
    <n v="9000"/>
    <n v="-1000"/>
    <n v="-0.125"/>
  </r>
  <r>
    <n v="1004"/>
    <x v="3"/>
    <x v="1"/>
    <n v="25000"/>
    <n v="18000"/>
    <n v="7000"/>
    <n v="0.28000000000000003"/>
  </r>
  <r>
    <n v="1005"/>
    <x v="0"/>
    <x v="0"/>
    <n v="12000"/>
    <n v="10000"/>
    <n v="2000"/>
    <n v="0.1666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8B2E7-5230-4F9F-B753-6F3B5F55F635}" name="SalesProfitPivot" cacheId="77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8" firstHeaderRow="0" firstDataRow="1" firstDataCol="1" rowPageCount="1" colPageCount="1"/>
  <pivotFields count="7"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numFmtId="10" outline="0" showAll="0"/>
  </pivotFields>
  <rowFields count="1">
    <field x="1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Total Sales" fld="3" baseField="0" baseItem="0" numFmtId="3"/>
    <dataField name="Total Cost" fld="4" baseField="0" baseItem="0" numFmtId="3"/>
    <dataField name="Total Profit" fld="5" baseField="0" baseItem="0" numFmtId="3"/>
    <dataField name="Average of Profit Margin" fld="6" subtotal="average" baseField="0" baseItem="0" numFmtId="10"/>
  </dataFields>
  <formats count="2">
    <format dxfId="9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371A6-3058-4C7E-BB06-973D51D45B57}" name="Table1" displayName="Table1" ref="A1:G6" totalsRowShown="0" headerRowDxfId="8" dataDxfId="7">
  <autoFilter ref="A1:G6" xr:uid="{2F8371A6-3058-4C7E-BB06-973D51D45B57}"/>
  <tableColumns count="7">
    <tableColumn id="1" xr3:uid="{962AF590-A681-4327-BB2E-29033B46DF05}" name="Order_ID" dataDxfId="6"/>
    <tableColumn id="2" xr3:uid="{9937DEFC-6414-4D02-8987-411FAC05AFE6}" name="Region" dataDxfId="5"/>
    <tableColumn id="3" xr3:uid="{2FD8AA26-FB90-469E-BF22-BF53765A3DC7}" name="Category" dataDxfId="4"/>
    <tableColumn id="4" xr3:uid="{B9927191-BA73-4ABF-A475-53F39D2545D0}" name="Sales" dataDxfId="3"/>
    <tableColumn id="5" xr3:uid="{B8E2E71F-D47C-4C33-B983-4A045FE58824}" name="Cost" dataDxfId="2"/>
    <tableColumn id="6" xr3:uid="{23A38EBB-6310-42BC-9033-4BD9ED7A99BF}" name="Profit" dataDxfId="1">
      <calculatedColumnFormula xml:space="preserve"> D2 - E2</calculatedColumnFormula>
    </tableColumn>
    <tableColumn id="7" xr3:uid="{6357804A-C2A4-4DB2-BFD4-ABEF52489C55}" name="Profit Margin" dataDxfId="0">
      <calculatedColumnFormula xml:space="preserve"> F2 / 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sqref="A1:G6"/>
    </sheetView>
  </sheetViews>
  <sheetFormatPr defaultRowHeight="15"/>
  <cols>
    <col min="1" max="1" width="11.28515625" style="4" bestFit="1" customWidth="1"/>
    <col min="2" max="2" width="9.28515625" style="4" bestFit="1" customWidth="1"/>
    <col min="3" max="3" width="11.140625" style="4" bestFit="1" customWidth="1"/>
    <col min="4" max="5" width="9.140625" style="4"/>
    <col min="6" max="6" width="21.7109375" style="4" bestFit="1" customWidth="1"/>
    <col min="7" max="7" width="15" style="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1001</v>
      </c>
      <c r="B2" s="4" t="s">
        <v>7</v>
      </c>
      <c r="C2" s="4" t="s">
        <v>8</v>
      </c>
      <c r="D2" s="4">
        <v>15000</v>
      </c>
      <c r="E2" s="4">
        <v>12000</v>
      </c>
      <c r="F2" s="4">
        <f xml:space="preserve"> D2 - E2</f>
        <v>3000</v>
      </c>
      <c r="G2" s="5">
        <f xml:space="preserve"> F2 / D2</f>
        <v>0.2</v>
      </c>
    </row>
    <row r="3" spans="1:7">
      <c r="A3" s="4">
        <v>1002</v>
      </c>
      <c r="B3" s="4" t="s">
        <v>9</v>
      </c>
      <c r="C3" s="4" t="s">
        <v>10</v>
      </c>
      <c r="D3" s="4">
        <v>20000</v>
      </c>
      <c r="E3" s="4">
        <v>15000</v>
      </c>
      <c r="F3" s="4">
        <f t="shared" ref="F3:F6" si="0" xml:space="preserve"> D3 - E3</f>
        <v>5000</v>
      </c>
      <c r="G3" s="5">
        <f t="shared" ref="G3:G6" si="1" xml:space="preserve"> F3 / D3</f>
        <v>0.25</v>
      </c>
    </row>
    <row r="4" spans="1:7">
      <c r="A4" s="4">
        <v>1003</v>
      </c>
      <c r="B4" s="4" t="s">
        <v>11</v>
      </c>
      <c r="C4" s="4" t="s">
        <v>8</v>
      </c>
      <c r="D4" s="4">
        <v>8000</v>
      </c>
      <c r="E4" s="4">
        <v>9000</v>
      </c>
      <c r="F4" s="4">
        <f t="shared" si="0"/>
        <v>-1000</v>
      </c>
      <c r="G4" s="5">
        <f t="shared" si="1"/>
        <v>-0.125</v>
      </c>
    </row>
    <row r="5" spans="1:7">
      <c r="A5" s="4">
        <v>1004</v>
      </c>
      <c r="B5" s="4" t="s">
        <v>12</v>
      </c>
      <c r="C5" s="4" t="s">
        <v>10</v>
      </c>
      <c r="D5" s="4">
        <v>25000</v>
      </c>
      <c r="E5" s="4">
        <v>18000</v>
      </c>
      <c r="F5" s="4">
        <f t="shared" si="0"/>
        <v>7000</v>
      </c>
      <c r="G5" s="5">
        <f t="shared" si="1"/>
        <v>0.28000000000000003</v>
      </c>
    </row>
    <row r="6" spans="1:7">
      <c r="A6" s="4">
        <v>1005</v>
      </c>
      <c r="B6" s="4" t="s">
        <v>7</v>
      </c>
      <c r="C6" s="4" t="s">
        <v>8</v>
      </c>
      <c r="D6" s="4">
        <v>12000</v>
      </c>
      <c r="E6" s="4">
        <v>10000</v>
      </c>
      <c r="F6" s="4">
        <f t="shared" si="0"/>
        <v>2000</v>
      </c>
      <c r="G6" s="5">
        <f t="shared" si="1"/>
        <v>0.16666666666666666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E551-928A-46A5-8F10-470ED7B86CF4}">
  <dimension ref="A1:E8"/>
  <sheetViews>
    <sheetView tabSelected="1" workbookViewId="0">
      <selection activeCell="B6" sqref="B6"/>
    </sheetView>
  </sheetViews>
  <sheetFormatPr defaultRowHeight="15"/>
  <cols>
    <col min="1" max="1" width="11.42578125" bestFit="1" customWidth="1"/>
    <col min="2" max="2" width="10.42578125" bestFit="1" customWidth="1"/>
    <col min="3" max="3" width="9.7109375" bestFit="1" customWidth="1"/>
    <col min="4" max="4" width="10.85546875" bestFit="1" customWidth="1"/>
    <col min="5" max="6" width="22.85546875" bestFit="1" customWidth="1"/>
  </cols>
  <sheetData>
    <row r="1" spans="1:5">
      <c r="A1" s="6" t="s">
        <v>2</v>
      </c>
      <c r="B1" t="s">
        <v>13</v>
      </c>
    </row>
    <row r="3" spans="1:5">
      <c r="A3" s="6" t="s">
        <v>1</v>
      </c>
      <c r="B3" s="7" t="s">
        <v>14</v>
      </c>
      <c r="C3" s="7" t="s">
        <v>15</v>
      </c>
      <c r="D3" s="7" t="s">
        <v>16</v>
      </c>
      <c r="E3" t="s">
        <v>17</v>
      </c>
    </row>
    <row r="4" spans="1:5">
      <c r="A4" t="s">
        <v>12</v>
      </c>
      <c r="B4" s="7">
        <v>25000</v>
      </c>
      <c r="C4" s="7">
        <v>18000</v>
      </c>
      <c r="D4" s="7">
        <v>7000</v>
      </c>
      <c r="E4" s="1">
        <v>0.28000000000000003</v>
      </c>
    </row>
    <row r="5" spans="1:5">
      <c r="A5" t="s">
        <v>9</v>
      </c>
      <c r="B5" s="7">
        <v>20000</v>
      </c>
      <c r="C5" s="7">
        <v>15000</v>
      </c>
      <c r="D5" s="7">
        <v>5000</v>
      </c>
      <c r="E5" s="1">
        <v>0.25</v>
      </c>
    </row>
    <row r="6" spans="1:5">
      <c r="A6" t="s">
        <v>7</v>
      </c>
      <c r="B6" s="7">
        <v>27000</v>
      </c>
      <c r="C6" s="7">
        <v>22000</v>
      </c>
      <c r="D6" s="7">
        <v>5000</v>
      </c>
      <c r="E6" s="1">
        <v>0.18333333333333335</v>
      </c>
    </row>
    <row r="7" spans="1:5">
      <c r="A7" t="s">
        <v>11</v>
      </c>
      <c r="B7" s="7">
        <v>8000</v>
      </c>
      <c r="C7" s="7">
        <v>9000</v>
      </c>
      <c r="D7" s="7">
        <v>-1000</v>
      </c>
      <c r="E7" s="1">
        <v>-0.125</v>
      </c>
    </row>
    <row r="8" spans="1:5">
      <c r="A8" t="s">
        <v>18</v>
      </c>
      <c r="B8" s="7">
        <v>80000</v>
      </c>
      <c r="C8" s="7">
        <v>64000</v>
      </c>
      <c r="D8" s="7">
        <v>16000</v>
      </c>
      <c r="E8" s="1">
        <v>0.15433333333333335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Induja Y</cp:lastModifiedBy>
  <cp:revision/>
  <dcterms:created xsi:type="dcterms:W3CDTF">2026-01-28T14:51:20Z</dcterms:created>
  <dcterms:modified xsi:type="dcterms:W3CDTF">2026-01-28T15:41:19Z</dcterms:modified>
  <cp:category/>
  <cp:contentStatus/>
</cp:coreProperties>
</file>