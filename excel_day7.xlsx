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45332DEE1BC884/Documents/"/>
    </mc:Choice>
  </mc:AlternateContent>
  <xr:revisionPtr revIDLastSave="54" documentId="8_{27C22B3C-4F1B-47FF-B195-40EF1EAA33EE}" xr6:coauthVersionLast="47" xr6:coauthVersionMax="47" xr10:uidLastSave="{2AFCF360-1D42-413C-B646-BDFB3C3C5D58}"/>
  <bookViews>
    <workbookView xWindow="-108" yWindow="-108" windowWidth="23256" windowHeight="12456" activeTab="1" xr2:uid="{10E221AA-9F53-435A-88A3-B4A1B66AFC5E}"/>
  </bookViews>
  <sheets>
    <sheet name="Cleaned Data" sheetId="1" r:id="rId1"/>
    <sheet name="Analysis" sheetId="2" r:id="rId2"/>
    <sheet name="Summary Repo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E3" i="2"/>
  <c r="E4" i="2"/>
  <c r="E5" i="2"/>
  <c r="E6" i="2"/>
  <c r="E2" i="2"/>
  <c r="D3" i="2"/>
  <c r="D4" i="2"/>
  <c r="D5" i="2"/>
  <c r="D6" i="2"/>
  <c r="D2" i="2"/>
</calcChain>
</file>

<file path=xl/sharedStrings.xml><?xml version="1.0" encoding="utf-8"?>
<sst xmlns="http://schemas.openxmlformats.org/spreadsheetml/2006/main" count="17" uniqueCount="14">
  <si>
    <t>Order_ID</t>
  </si>
  <si>
    <t>Order_Date</t>
  </si>
  <si>
    <t>Sales</t>
  </si>
  <si>
    <t>Profit</t>
  </si>
  <si>
    <t>Profit_Status</t>
  </si>
  <si>
    <t>Sales_Level</t>
  </si>
  <si>
    <t>Sales Performance Summary</t>
  </si>
  <si>
    <t>Metric</t>
  </si>
  <si>
    <t>Value</t>
  </si>
  <si>
    <t>Total Sales</t>
  </si>
  <si>
    <t>Total Profit</t>
  </si>
  <si>
    <t>Average Sales</t>
  </si>
  <si>
    <t>Profit Orders Count</t>
  </si>
  <si>
    <t>Loss Orders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</si>
</sst>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60320-35B6-4B34-B3BC-2ED2D65F46BA}">
  <dimension ref="A1:D6"/>
  <sheetViews>
    <sheetView workbookViewId="0">
      <selection activeCell="D2" sqref="D2:D6"/>
    </sheetView>
  </sheetViews>
  <sheetFormatPr defaultRowHeight="14.4" x14ac:dyDescent="0.3"/>
  <cols>
    <col min="1" max="1" width="8.33203125" bestFit="1" customWidth="1"/>
    <col min="2" max="2" width="10.33203125" bestFit="1" customWidth="1"/>
    <col min="3" max="3" width="6" bestFit="1" customWidth="1"/>
    <col min="4" max="4" width="5.5546875" bestFit="1" customWidth="1"/>
  </cols>
  <sheetData>
    <row r="1" spans="1:4" ht="12.6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1001</v>
      </c>
      <c r="B2" s="3">
        <v>45292</v>
      </c>
      <c r="C2" s="2">
        <v>15000</v>
      </c>
      <c r="D2" s="2">
        <v>3000</v>
      </c>
    </row>
    <row r="3" spans="1:4" x14ac:dyDescent="0.3">
      <c r="A3" s="2">
        <v>1002</v>
      </c>
      <c r="B3" s="3">
        <v>45294</v>
      </c>
      <c r="C3" s="2">
        <v>20000</v>
      </c>
      <c r="D3" s="2">
        <v>1000</v>
      </c>
    </row>
    <row r="4" spans="1:4" x14ac:dyDescent="0.3">
      <c r="A4" s="2">
        <v>1003</v>
      </c>
      <c r="B4" s="3">
        <v>45296</v>
      </c>
      <c r="C4" s="2">
        <v>8000</v>
      </c>
      <c r="D4" s="2">
        <v>-500</v>
      </c>
    </row>
    <row r="5" spans="1:4" x14ac:dyDescent="0.3">
      <c r="A5" s="2">
        <v>1004</v>
      </c>
      <c r="B5" s="3">
        <v>45298</v>
      </c>
      <c r="C5" s="2">
        <v>25000</v>
      </c>
      <c r="D5" s="2">
        <v>6000</v>
      </c>
    </row>
    <row r="6" spans="1:4" x14ac:dyDescent="0.3">
      <c r="A6" s="2">
        <v>1005</v>
      </c>
      <c r="B6" s="3">
        <v>45301</v>
      </c>
      <c r="C6" s="2">
        <v>12000</v>
      </c>
      <c r="D6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618A0-5E94-40A7-9286-978243DD40D6}">
  <dimension ref="A1:E6"/>
  <sheetViews>
    <sheetView tabSelected="1" workbookViewId="0">
      <selection activeCell="D12" sqref="D12"/>
    </sheetView>
  </sheetViews>
  <sheetFormatPr defaultRowHeight="14.4" x14ac:dyDescent="0.3"/>
  <cols>
    <col min="1" max="1" width="8.33203125" bestFit="1" customWidth="1"/>
    <col min="2" max="2" width="6" bestFit="1" customWidth="1"/>
    <col min="4" max="4" width="13.44140625" customWidth="1"/>
    <col min="5" max="5" width="12" customWidth="1"/>
  </cols>
  <sheetData>
    <row r="1" spans="1:5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3">
      <c r="A2" s="2">
        <v>1001</v>
      </c>
      <c r="B2" s="2">
        <v>15000</v>
      </c>
      <c r="C2" s="2">
        <v>3000</v>
      </c>
      <c r="D2" t="str">
        <f>IF(C2&gt;0,"Profit","Loss")</f>
        <v>Profit</v>
      </c>
      <c r="E2" t="str">
        <f>IF(B2&gt;=15000,"High Sales","Low Sales")</f>
        <v>High Sales</v>
      </c>
    </row>
    <row r="3" spans="1:5" x14ac:dyDescent="0.3">
      <c r="A3" s="2">
        <v>1002</v>
      </c>
      <c r="B3" s="2">
        <v>20000</v>
      </c>
      <c r="C3" s="2">
        <v>1000</v>
      </c>
      <c r="D3" t="str">
        <f t="shared" ref="D3:D6" si="0">IF(C3&gt;0,"Profit","Loss")</f>
        <v>Profit</v>
      </c>
      <c r="E3" t="str">
        <f t="shared" ref="E3:E6" si="1">IF(B3&gt;=15000,"High Sales","Low Sales")</f>
        <v>High Sales</v>
      </c>
    </row>
    <row r="4" spans="1:5" x14ac:dyDescent="0.3">
      <c r="A4" s="2">
        <v>1003</v>
      </c>
      <c r="B4" s="2">
        <v>8000</v>
      </c>
      <c r="C4" s="2">
        <v>-500</v>
      </c>
      <c r="D4" t="str">
        <f t="shared" si="0"/>
        <v>Loss</v>
      </c>
      <c r="E4" t="str">
        <f t="shared" si="1"/>
        <v>Low Sales</v>
      </c>
    </row>
    <row r="5" spans="1:5" x14ac:dyDescent="0.3">
      <c r="A5" s="2">
        <v>1004</v>
      </c>
      <c r="B5" s="2">
        <v>25000</v>
      </c>
      <c r="C5" s="2">
        <v>6000</v>
      </c>
      <c r="D5" t="str">
        <f t="shared" si="0"/>
        <v>Profit</v>
      </c>
      <c r="E5" t="str">
        <f t="shared" si="1"/>
        <v>High Sales</v>
      </c>
    </row>
    <row r="6" spans="1:5" x14ac:dyDescent="0.3">
      <c r="A6" s="2">
        <v>1005</v>
      </c>
      <c r="B6" s="2">
        <v>12000</v>
      </c>
      <c r="C6" s="2">
        <v>0</v>
      </c>
      <c r="D6" t="str">
        <f t="shared" si="0"/>
        <v>Loss</v>
      </c>
      <c r="E6" t="str">
        <f t="shared" si="1"/>
        <v>Low Sales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9D4D0-043C-42CA-A7AD-15B2DF17A848}">
  <dimension ref="A1:B8"/>
  <sheetViews>
    <sheetView workbookViewId="0">
      <selection activeCell="D11" sqref="D11"/>
    </sheetView>
  </sheetViews>
  <sheetFormatPr defaultRowHeight="14.4" x14ac:dyDescent="0.3"/>
  <cols>
    <col min="1" max="1" width="17.5546875" customWidth="1"/>
    <col min="2" max="2" width="18.6640625" customWidth="1"/>
  </cols>
  <sheetData>
    <row r="1" spans="1:2" ht="18" x14ac:dyDescent="0.3">
      <c r="A1" s="6" t="s">
        <v>6</v>
      </c>
      <c r="B1" s="6"/>
    </row>
    <row r="2" spans="1:2" x14ac:dyDescent="0.3">
      <c r="A2" s="8" t="s">
        <v>7</v>
      </c>
      <c r="B2" s="8" t="s">
        <v>8</v>
      </c>
    </row>
    <row r="3" spans="1:2" x14ac:dyDescent="0.3">
      <c r="A3" s="4" t="s">
        <v>9</v>
      </c>
      <c r="B3" s="5">
        <f>SUM(Analysis!B:B)</f>
        <v>80000</v>
      </c>
    </row>
    <row r="4" spans="1:2" x14ac:dyDescent="0.3">
      <c r="A4" s="4" t="s">
        <v>10</v>
      </c>
      <c r="B4" s="7">
        <f>SUM(Analysis!C:C)</f>
        <v>9500</v>
      </c>
    </row>
    <row r="5" spans="1:2" x14ac:dyDescent="0.3">
      <c r="A5" s="4" t="s">
        <v>11</v>
      </c>
      <c r="B5" s="7">
        <f>AVERAGE(Analysis!B:B)</f>
        <v>16000</v>
      </c>
    </row>
    <row r="6" spans="1:2" x14ac:dyDescent="0.3">
      <c r="A6" s="4" t="s">
        <v>12</v>
      </c>
      <c r="B6" s="7">
        <f>COUNTIF(Analysis!D:D,"Profit")</f>
        <v>3</v>
      </c>
    </row>
    <row r="7" spans="1:2" x14ac:dyDescent="0.3">
      <c r="A7" s="4" t="s">
        <v>13</v>
      </c>
      <c r="B7" s="7">
        <f>COUNTIF(Analysis!D:D,"Loss")</f>
        <v>2</v>
      </c>
    </row>
    <row r="8" spans="1:2" x14ac:dyDescent="0.3">
      <c r="A8" s="2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</vt:lpstr>
      <vt:lpstr>Analysis</vt:lpstr>
      <vt:lpstr>Summary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Induja Y</dc:creator>
  <cp:lastModifiedBy>Induja Y</cp:lastModifiedBy>
  <dcterms:created xsi:type="dcterms:W3CDTF">2026-01-22T14:59:51Z</dcterms:created>
  <dcterms:modified xsi:type="dcterms:W3CDTF">2026-01-22T15:41:16Z</dcterms:modified>
</cp:coreProperties>
</file>